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Detailed Technical Specs" sheetId="2" state="visible" r:id="rId2"/>
    <sheet name="Internal Co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10">
    <font>
      <name val="Calibri"/>
      <family val="2"/>
      <color theme="1"/>
      <sz val="11"/>
      <scheme val="minor"/>
    </font>
    <font>
      <b val="1"/>
      <color rgb="00DC2626"/>
      <sz val="14"/>
    </font>
    <font>
      <name val="Calibri"/>
      <b val="1"/>
      <color rgb="001E293B"/>
      <sz val="11"/>
    </font>
    <font>
      <b val="1"/>
      <color rgb="00FFFFFF"/>
    </font>
    <font>
      <name val="Calibri"/>
      <b val="1"/>
      <color rgb="00FFFFFF"/>
      <sz val="11"/>
    </font>
    <font>
      <name val="Calibri"/>
      <b val="1"/>
      <color rgb="001E40AF"/>
      <sz val="16"/>
    </font>
    <font>
      <name val="Calibri"/>
      <color rgb="001E293B"/>
      <sz val="11"/>
    </font>
    <font>
      <i val="1"/>
      <color rgb="00DC2626"/>
      <sz val="10"/>
    </font>
    <font>
      <name val="Calibri"/>
      <b val="1"/>
      <color rgb="00FFFFFF"/>
      <sz val="12"/>
    </font>
    <font>
      <name val="Calibri"/>
      <b val="1"/>
      <color rgb="00064E3B"/>
      <sz val="12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  <fill>
      <patternFill patternType="solid">
        <fgColor rgb="001E40AF"/>
        <bgColor rgb="001E40A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9" fillId="0" borderId="0" applyAlignment="1" pivotButton="0" quotePrefix="0" xfId="0">
      <alignment horizontal="right"/>
    </xf>
    <xf numFmtId="164" fontId="9" fillId="6" borderId="0" pivotButton="0" quotePrefix="0" xfId="0"/>
    <xf numFmtId="0" fontId="4" fillId="4" borderId="0" applyAlignment="1" pivotButton="0" quotePrefix="0" xfId="0">
      <alignment horizontal="center"/>
    </xf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center"/>
    </xf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10" customWidth="1" min="4" max="4"/>
    <col width="10" customWidth="1" min="5" max="5"/>
    <col width="15" customWidth="1" min="6" max="6"/>
    <col width="8" customWidth="1" min="7" max="7"/>
    <col width="20" customWidth="1" min="8" max="8"/>
    <col width="20" customWidth="1" min="9" max="9"/>
  </cols>
  <sheetData>
    <row r="2">
      <c r="B2" s="1" t="inlineStr">
        <is>
          <t>TCF Fan Pricing Tool - Project Quotation</t>
        </is>
      </c>
    </row>
    <row r="4">
      <c r="B4" s="2" t="inlineStr">
        <is>
          <t>Enquiry Number:</t>
        </is>
      </c>
      <c r="C4" s="3" t="inlineStr">
        <is>
          <t>TEST-2025-001</t>
        </is>
      </c>
      <c r="F4" s="4" t="inlineStr">
        <is>
          <t>NOTE: To adjust prices, edit 'Fab Margin %' or 'BO Margin %' in the 'Internal Costing' sheet.</t>
        </is>
      </c>
    </row>
    <row r="5">
      <c r="B5" s="2" t="inlineStr">
        <is>
          <t>Customer Name:</t>
        </is>
      </c>
      <c r="C5" s="3" t="inlineStr">
        <is>
          <t>Acme Corp</t>
        </is>
      </c>
    </row>
    <row r="6">
      <c r="B6" s="2" t="inlineStr">
        <is>
          <t>Sales Engineer:</t>
        </is>
      </c>
      <c r="C6" s="3" t="inlineStr">
        <is>
          <t>John Doe</t>
        </is>
      </c>
    </row>
    <row r="7">
      <c r="B7" s="2" t="inlineStr">
        <is>
          <t>Date:</t>
        </is>
      </c>
      <c r="C7" s="3" t="inlineStr">
        <is>
          <t>2025-05-20</t>
        </is>
      </c>
    </row>
    <row r="9">
      <c r="B9" s="5" t="inlineStr">
        <is>
          <t>#</t>
        </is>
      </c>
      <c r="C9" s="5" t="inlineStr">
        <is>
          <t>Fan Model</t>
        </is>
      </c>
      <c r="D9" s="5" t="inlineStr">
        <is>
          <t>Size</t>
        </is>
      </c>
      <c r="E9" s="5" t="inlineStr">
        <is>
          <t>Class</t>
        </is>
      </c>
      <c r="F9" s="5" t="inlineStr">
        <is>
          <t>Arrangement</t>
        </is>
      </c>
      <c r="G9" s="5" t="inlineStr">
        <is>
          <t>Qty</t>
        </is>
      </c>
      <c r="H9" s="5" t="inlineStr">
        <is>
          <t>Unit Price (₹)</t>
        </is>
      </c>
      <c r="I9" s="5" t="inlineStr">
        <is>
          <t>Total Price (₹)</t>
        </is>
      </c>
    </row>
    <row r="10">
      <c r="B10" s="6" t="n">
        <v>1</v>
      </c>
      <c r="C10" s="7" t="inlineStr">
        <is>
          <t>TCF-100</t>
        </is>
      </c>
      <c r="D10" s="7" t="inlineStr">
        <is>
          <t>500</t>
        </is>
      </c>
      <c r="E10" s="7" t="inlineStr">
        <is>
          <t>1</t>
        </is>
      </c>
      <c r="F10" s="7" t="inlineStr">
        <is>
          <t>4</t>
        </is>
      </c>
      <c r="G10" s="6" t="n">
        <v>1</v>
      </c>
      <c r="H10" s="8">
        <f>('Internal Costing'!B31/(1-IF('Internal Costing'!B36&gt;1, 'Internal Costing'!B36/100, 'Internal Costing'!B36))) + ('Internal Costing'!B32/(1-IF('Internal Costing'!B37&gt;1, 'Internal Costing'!B37/100, 'Internal Costing'!B37)))</f>
        <v/>
      </c>
      <c r="I10" s="8">
        <f>H10*G10</f>
        <v/>
      </c>
    </row>
    <row r="11">
      <c r="B11" s="6" t="n">
        <v>2</v>
      </c>
      <c r="C11" s="7" t="inlineStr">
        <is>
          <t>TCF-200</t>
        </is>
      </c>
      <c r="D11" s="7" t="inlineStr">
        <is>
          <t>800</t>
        </is>
      </c>
      <c r="E11" s="7" t="inlineStr">
        <is>
          <t>2</t>
        </is>
      </c>
      <c r="F11" s="7" t="inlineStr">
        <is>
          <t>9</t>
        </is>
      </c>
      <c r="G11" s="6" t="n">
        <v>1</v>
      </c>
      <c r="H11" s="8">
        <f>('Internal Costing'!C31/(1-IF('Internal Costing'!C36&gt;1, 'Internal Costing'!C36/100, 'Internal Costing'!C36))) + ('Internal Costing'!C32/(1-IF('Internal Costing'!C37&gt;1, 'Internal Costing'!C37/100, 'Internal Costing'!C37)))</f>
        <v/>
      </c>
      <c r="I11" s="8">
        <f>H11*G11</f>
        <v/>
      </c>
    </row>
    <row r="12">
      <c r="B12" s="9" t="inlineStr">
        <is>
          <t>TOTAL Project Value</t>
        </is>
      </c>
      <c r="I12" s="10">
        <f>SUM(I10:I11)</f>
        <v/>
      </c>
    </row>
  </sheetData>
  <mergeCells count="3">
    <mergeCell ref="B2:H2"/>
    <mergeCell ref="B12:G12"/>
    <mergeCell ref="F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5" customWidth="1" min="10" max="10"/>
    <col width="40" customWidth="1" min="11" max="11"/>
  </cols>
  <sheetData>
    <row r="1">
      <c r="A1" s="11" t="inlineStr">
        <is>
          <t>Fan #</t>
        </is>
      </c>
      <c r="B1" s="11" t="inlineStr">
        <is>
          <t>Model</t>
        </is>
      </c>
      <c r="C1" s="11" t="inlineStr">
        <is>
          <t>Size</t>
        </is>
      </c>
      <c r="D1" s="11" t="inlineStr">
        <is>
          <t>Class</t>
        </is>
      </c>
      <c r="E1" s="11" t="inlineStr">
        <is>
          <t>Type</t>
        </is>
      </c>
      <c r="F1" s="11" t="inlineStr">
        <is>
          <t>Material</t>
        </is>
      </c>
      <c r="G1" s="11" t="inlineStr">
        <is>
          <t>Motor kW</t>
        </is>
      </c>
      <c r="H1" s="11" t="inlineStr">
        <is>
          <t>Motor Brand</t>
        </is>
      </c>
      <c r="I1" s="11" t="inlineStr">
        <is>
          <t>Drive Type</t>
        </is>
      </c>
      <c r="J1" s="11" t="inlineStr">
        <is>
          <t>Isolators</t>
        </is>
      </c>
      <c r="K1" s="11" t="inlineStr">
        <is>
          <t>Accessories</t>
        </is>
      </c>
    </row>
    <row r="2">
      <c r="A2" t="inlineStr">
        <is>
          <t>Fan 1</t>
        </is>
      </c>
      <c r="B2" t="inlineStr">
        <is>
          <t>TCF-100</t>
        </is>
      </c>
      <c r="C2" t="inlineStr">
        <is>
          <t>500</t>
        </is>
      </c>
      <c r="D2" t="inlineStr">
        <is>
          <t>1</t>
        </is>
      </c>
      <c r="E2" t="inlineStr">
        <is>
          <t>4</t>
        </is>
      </c>
      <c r="F2" t="inlineStr">
        <is>
          <t>ms</t>
        </is>
      </c>
      <c r="G2" t="inlineStr">
        <is>
          <t>15</t>
        </is>
      </c>
      <c r="H2" t="inlineStr">
        <is>
          <t>ABB</t>
        </is>
      </c>
      <c r="I2" t="inlineStr">
        <is>
          <t>Direct</t>
        </is>
      </c>
      <c r="J2" t="inlineStr">
        <is>
          <t>polybond</t>
        </is>
      </c>
      <c r="K2" t="inlineStr">
        <is>
          <t>Inlet Box, Inlet Box, Drain, Flex Connector</t>
        </is>
      </c>
    </row>
    <row r="3">
      <c r="A3" t="inlineStr">
        <is>
          <t>Fan 2</t>
        </is>
      </c>
      <c r="B3" t="inlineStr">
        <is>
          <t>TCF-200</t>
        </is>
      </c>
      <c r="C3" t="inlineStr">
        <is>
          <t>800</t>
        </is>
      </c>
      <c r="D3" t="inlineStr">
        <is>
          <t>2</t>
        </is>
      </c>
      <c r="E3" t="inlineStr">
        <is>
          <t>9</t>
        </is>
      </c>
      <c r="F3" t="inlineStr">
        <is>
          <t>mixed</t>
        </is>
      </c>
      <c r="G3" t="inlineStr">
        <is>
          <t>22</t>
        </is>
      </c>
      <c r="H3" t="inlineStr">
        <is>
          <t>Siemens</t>
        </is>
      </c>
      <c r="I3" t="inlineStr">
        <is>
          <t>Belt</t>
        </is>
      </c>
      <c r="J3" t="inlineStr">
        <is>
          <t>not_required</t>
        </is>
      </c>
      <c r="K3" t="inlineStr">
        <is>
          <t>Damper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2" t="inlineStr">
        <is>
          <t>INTERNAL USE ONLY - DETAILED OPERATIONAL DATA</t>
        </is>
      </c>
    </row>
    <row r="3">
      <c r="A3" s="13" t="inlineStr">
        <is>
          <t>Fan #</t>
        </is>
      </c>
      <c r="B3" s="14" t="n">
        <v>1</v>
      </c>
      <c r="C3" s="14" t="n">
        <v>2</v>
      </c>
    </row>
    <row r="4">
      <c r="A4" s="13" t="inlineStr">
        <is>
          <t>Model</t>
        </is>
      </c>
      <c r="B4" s="14" t="inlineStr">
        <is>
          <t>TCF-100</t>
        </is>
      </c>
      <c r="C4" s="14" t="inlineStr">
        <is>
          <t>TCF-200</t>
        </is>
      </c>
    </row>
    <row r="5">
      <c r="A5" s="15" t="inlineStr">
        <is>
          <t>--- WEIGHTS &amp; ACCESSORIES ---</t>
        </is>
      </c>
    </row>
    <row r="6">
      <c r="A6" s="13" t="inlineStr">
        <is>
          <t>Bare Weight (kg)</t>
        </is>
      </c>
      <c r="B6" s="16" t="n">
        <v>400</v>
      </c>
      <c r="C6" s="16" t="n">
        <v>800</v>
      </c>
    </row>
    <row r="7">
      <c r="A7" s="13" t="inlineStr">
        <is>
          <t>Standard Acc Wt (kg)</t>
        </is>
      </c>
      <c r="B7" s="16" t="n">
        <v>0</v>
      </c>
      <c r="C7" s="16" t="n">
        <v>0</v>
      </c>
    </row>
    <row r="8">
      <c r="A8" s="13" t="inlineStr">
        <is>
          <t>Custom Acc Wt (kg)</t>
        </is>
      </c>
      <c r="B8" s="16" t="n">
        <v>150</v>
      </c>
      <c r="C8" s="16" t="n">
        <v>150</v>
      </c>
    </row>
    <row r="9">
      <c r="A9" s="13" t="inlineStr">
        <is>
          <t>Total Weight (kg)</t>
        </is>
      </c>
      <c r="B9" s="16" t="n">
        <v>550</v>
      </c>
      <c r="C9" s="16" t="n">
        <v>950</v>
      </c>
    </row>
    <row r="10">
      <c r="A10" s="13" t="inlineStr">
        <is>
          <t>MS Weight (kg)</t>
        </is>
      </c>
      <c r="B10" s="14" t="inlineStr"/>
      <c r="C10" s="16" t="n">
        <v>570</v>
      </c>
    </row>
    <row r="11">
      <c r="A11" s="13" t="inlineStr">
        <is>
          <t>SS Weight (kg)</t>
        </is>
      </c>
      <c r="B11" s="14" t="inlineStr"/>
      <c r="C11" s="16" t="n">
        <v>380</v>
      </c>
    </row>
    <row r="12">
      <c r="A12" s="13" t="inlineStr">
        <is>
          <t>Damper (kg)</t>
        </is>
      </c>
      <c r="B12" s="16" t="n">
        <v>0</v>
      </c>
      <c r="C12" s="16" t="n">
        <v>100</v>
      </c>
    </row>
    <row r="13">
      <c r="A13" s="13" t="inlineStr">
        <is>
          <t>Drain (kg)</t>
        </is>
      </c>
      <c r="B13" s="16" t="n">
        <v>0</v>
      </c>
      <c r="C13" s="16" t="n">
        <v>0</v>
      </c>
    </row>
    <row r="14">
      <c r="A14" s="13" t="inlineStr">
        <is>
          <t>Inlet Box (kg)</t>
        </is>
      </c>
      <c r="B14" s="16" t="n">
        <v>50</v>
      </c>
      <c r="C14" s="16" t="n">
        <v>0</v>
      </c>
    </row>
    <row r="15">
      <c r="A15" s="15" t="inlineStr">
        <is>
          <t>--- COMPONENT SPECIFICATIONS ---</t>
        </is>
      </c>
    </row>
    <row r="16">
      <c r="A16" s="13" t="inlineStr">
        <is>
          <t>Motor kW</t>
        </is>
      </c>
      <c r="B16" s="14" t="inlineStr">
        <is>
          <t>15</t>
        </is>
      </c>
      <c r="C16" s="14" t="inlineStr">
        <is>
          <t>22</t>
        </is>
      </c>
    </row>
    <row r="17">
      <c r="A17" s="13" t="inlineStr">
        <is>
          <t>Motor Brand</t>
        </is>
      </c>
      <c r="B17" s="14" t="inlineStr">
        <is>
          <t>ABB</t>
        </is>
      </c>
      <c r="C17" s="14" t="inlineStr">
        <is>
          <t>Siemens</t>
        </is>
      </c>
    </row>
    <row r="18">
      <c r="A18" s="13" t="inlineStr">
        <is>
          <t>Motor Efficiency</t>
        </is>
      </c>
      <c r="B18" s="14" t="inlineStr">
        <is>
          <t>IE3</t>
        </is>
      </c>
      <c r="C18" s="14" t="inlineStr">
        <is>
          <t>IE4</t>
        </is>
      </c>
    </row>
    <row r="19">
      <c r="A19" s="13" t="inlineStr">
        <is>
          <t>Motor Pole</t>
        </is>
      </c>
      <c r="B19" s="14" t="inlineStr">
        <is>
          <t>4</t>
        </is>
      </c>
      <c r="C19" s="14" t="inlineStr">
        <is>
          <t>2</t>
        </is>
      </c>
    </row>
    <row r="20">
      <c r="A20" s="13" t="inlineStr">
        <is>
          <t>Bearing Brand</t>
        </is>
      </c>
      <c r="B20" s="14" t="inlineStr">
        <is>
          <t>N/A</t>
        </is>
      </c>
      <c r="C20" s="14" t="inlineStr">
        <is>
          <t>Dodge</t>
        </is>
      </c>
    </row>
    <row r="21">
      <c r="A21" s="13" t="inlineStr">
        <is>
          <t>Isolators Brand</t>
        </is>
      </c>
      <c r="B21" s="14" t="inlineStr">
        <is>
          <t>Polybond</t>
        </is>
      </c>
      <c r="C21" s="14" t="inlineStr">
        <is>
          <t>Not Required</t>
        </is>
      </c>
    </row>
    <row r="22">
      <c r="A22" s="13" t="inlineStr">
        <is>
          <t>Isolators Qty</t>
        </is>
      </c>
      <c r="B22" s="16" t="n">
        <v>0</v>
      </c>
      <c r="C22" s="16" t="n">
        <v>0</v>
      </c>
    </row>
    <row r="23">
      <c r="A23" s="13" t="inlineStr">
        <is>
          <t>Shaft Dia (mm)</t>
        </is>
      </c>
      <c r="B23" s="14" t="n">
        <v>0</v>
      </c>
      <c r="C23" s="14" t="n">
        <v>0</v>
      </c>
    </row>
    <row r="24">
      <c r="A24" s="13" t="inlineStr">
        <is>
          <t>Drive Pack</t>
        </is>
      </c>
      <c r="B24" s="14" t="inlineStr">
        <is>
          <t>Direct</t>
        </is>
      </c>
      <c r="C24" s="14" t="inlineStr">
        <is>
          <t>Belt</t>
        </is>
      </c>
    </row>
    <row r="25">
      <c r="A25" s="13" t="inlineStr">
        <is>
          <t>Material</t>
        </is>
      </c>
      <c r="B25" s="14" t="inlineStr">
        <is>
          <t>ms</t>
        </is>
      </c>
      <c r="C25" s="14" t="inlineStr">
        <is>
          <t>mixed</t>
        </is>
      </c>
    </row>
    <row r="26">
      <c r="A26" s="15" t="inlineStr">
        <is>
          <t>--- COMPONENT COSTS ---</t>
        </is>
      </c>
    </row>
    <row r="27">
      <c r="A27" s="13" t="inlineStr">
        <is>
          <t>Motor Price (₹)</t>
        </is>
      </c>
      <c r="B27" s="17" t="n">
        <v>0</v>
      </c>
      <c r="C27" s="17" t="n">
        <v>0</v>
      </c>
    </row>
    <row r="28">
      <c r="A28" s="13" t="inlineStr">
        <is>
          <t>Bearing Price (₹)</t>
        </is>
      </c>
      <c r="B28" s="17" t="n">
        <v>0</v>
      </c>
      <c r="C28" s="17" t="n">
        <v>0</v>
      </c>
    </row>
    <row r="29">
      <c r="A29" s="13" t="inlineStr">
        <is>
          <t>Drive Pack Price (₹)</t>
        </is>
      </c>
      <c r="B29" s="17" t="n">
        <v>0</v>
      </c>
      <c r="C29" s="17" t="n">
        <v>0</v>
      </c>
    </row>
    <row r="30">
      <c r="A30" s="13" t="inlineStr">
        <is>
          <t>Isolator Price (₹)</t>
        </is>
      </c>
      <c r="B30" s="17" t="n">
        <v>0</v>
      </c>
      <c r="C30" s="17" t="n">
        <v>0</v>
      </c>
    </row>
    <row r="31">
      <c r="A31" s="13" t="inlineStr">
        <is>
          <t>Fabrication Cost (₹)</t>
        </is>
      </c>
      <c r="B31" s="17" t="n">
        <v>50000</v>
      </c>
      <c r="C31" s="17" t="n">
        <v>120000</v>
      </c>
    </row>
    <row r="32">
      <c r="A32" s="13" t="inlineStr">
        <is>
          <t>Total Bought Out (₹)</t>
        </is>
      </c>
      <c r="B32" s="17" t="n">
        <v>20000</v>
      </c>
      <c r="C32" s="17" t="n">
        <v>45000</v>
      </c>
    </row>
    <row r="33">
      <c r="A33" s="15" t="inlineStr">
        <is>
          <t>--- OPTIONAL ITEMS ---</t>
        </is>
      </c>
    </row>
    <row r="34">
      <c r="A34" s="13" t="inlineStr">
        <is>
          <t>Flex Connector (₹)</t>
        </is>
      </c>
      <c r="B34" s="17" t="n">
        <v>1500</v>
      </c>
      <c r="C34" s="17" t="n">
        <v>0</v>
      </c>
    </row>
    <row r="35">
      <c r="A35" s="15" t="inlineStr">
        <is>
          <t>--- MARGINS &amp; TOTALS ---</t>
        </is>
      </c>
    </row>
    <row r="36">
      <c r="A36" s="13" t="inlineStr">
        <is>
          <t>Fab Margin %</t>
        </is>
      </c>
      <c r="B36" s="18" t="n">
        <v>0.3</v>
      </c>
      <c r="C36" s="18" t="n">
        <v>0.25</v>
      </c>
    </row>
    <row r="37">
      <c r="A37" s="13" t="inlineStr">
        <is>
          <t>BO Margin %</t>
        </is>
      </c>
      <c r="B37" s="18" t="n">
        <v>0.2</v>
      </c>
      <c r="C37" s="18" t="n">
        <v>0.25</v>
      </c>
    </row>
    <row r="38">
      <c r="A38" s="13" t="inlineStr">
        <is>
          <t>Fab Selling Price (₹)</t>
        </is>
      </c>
      <c r="B38" s="17">
        <f>IFERROR(B31 / (1 - IF(B36&gt;1, B36/100, B36)), B31)</f>
        <v/>
      </c>
      <c r="C38" s="17">
        <f>IFERROR(C31 / (1 - IF(C36&gt;1, C36/100, C36)), C31)</f>
        <v/>
      </c>
    </row>
    <row r="39">
      <c r="A39" s="13" t="inlineStr">
        <is>
          <t>BO Selling Price (₹)</t>
        </is>
      </c>
      <c r="B39" s="17">
        <f>IFERROR(B32 / (1 - IF(B37&gt;1, B37/100, B37)), B32)</f>
        <v/>
      </c>
      <c r="C39" s="17">
        <f>IFERROR(C32 / (1 - IF(C37&gt;1, C37/100, C37)), C32)</f>
        <v/>
      </c>
    </row>
    <row r="40">
      <c r="A40" s="13" t="inlineStr">
        <is>
          <t>Total Selling Price (₹)</t>
        </is>
      </c>
      <c r="B40" s="17">
        <f>B38 + B39</f>
        <v/>
      </c>
      <c r="C40" s="17">
        <f>C38 + C39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2026-02-11T06:23:12Z</dcterms:created>
  <dcterms:modified xsi:type="dcterms:W3CDTF">2026-02-11T06:23:12Z</dcterms:modified>
</cp:coreProperties>
</file>